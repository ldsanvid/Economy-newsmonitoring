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da24\Fondo Sergio\monitoreo-backend\"/>
    </mc:Choice>
  </mc:AlternateContent>
  <xr:revisionPtr revIDLastSave="0" documentId="13_ncr:1_{3C20C543-EE98-46CA-9729-71B10A836BA7}" xr6:coauthVersionLast="47" xr6:coauthVersionMax="47" xr10:uidLastSave="{00000000-0000-0000-0000-000000000000}"/>
  <bookViews>
    <workbookView xWindow="-108" yWindow="-108" windowWidth="23256" windowHeight="12576" firstSheet="2" activeTab="4" xr2:uid="{30335E2C-89DA-4C79-B82F-6F6D648259F1}"/>
  </bookViews>
  <sheets>
    <sheet name="Tipo de Cambio" sheetId="1" r:id="rId1"/>
    <sheet name="Tasas de interés2" sheetId="2" r:id="rId2"/>
    <sheet name="Tasas de interés" sheetId="14" r:id="rId3"/>
    <sheet name="Treasuries_SOFR" sheetId="3" r:id="rId4"/>
    <sheet name="Wallstreet" sheetId="6" r:id="rId5"/>
    <sheet name="InflaciónUS" sheetId="4" r:id="rId6"/>
    <sheet name="InflaciónMEX" sheetId="10" r:id="rId7"/>
    <sheet name="Tasas de interés US2" sheetId="15" r:id="rId8"/>
  </sheets>
  <definedNames>
    <definedName name="_xlnm._FilterDatabase" localSheetId="1" hidden="1">'Tasas de interés2'!$D$1:$F$1</definedName>
  </definedNames>
  <calcPr calcId="191029"/>
</workbook>
</file>

<file path=xl/calcChain.xml><?xml version="1.0" encoding="utf-8"?>
<calcChain xmlns="http://schemas.openxmlformats.org/spreadsheetml/2006/main">
  <c r="F5" i="6" l="1"/>
  <c r="G5" i="6"/>
  <c r="H5" i="6"/>
  <c r="H4" i="6"/>
  <c r="G4" i="6"/>
  <c r="F4" i="6"/>
  <c r="F2" i="6"/>
  <c r="F3" i="6"/>
  <c r="G2" i="6"/>
  <c r="G3" i="6"/>
  <c r="H2" i="6"/>
  <c r="H3" i="6"/>
</calcChain>
</file>

<file path=xl/sharedStrings.xml><?xml version="1.0" encoding="utf-8"?>
<sst xmlns="http://schemas.openxmlformats.org/spreadsheetml/2006/main" count="52" uniqueCount="33">
  <si>
    <t>Fecha</t>
  </si>
  <si>
    <t>Tipo de Cambio FIX</t>
  </si>
  <si>
    <t>Año</t>
  </si>
  <si>
    <t>TIIE 28 días</t>
  </si>
  <si>
    <t>TIIE 91 días</t>
  </si>
  <si>
    <t>TIIE 182 días</t>
  </si>
  <si>
    <t>Nivel máximo</t>
  </si>
  <si>
    <t>Nivel mínimo</t>
  </si>
  <si>
    <t>SOFR</t>
  </si>
  <si>
    <t>1M Treasury</t>
  </si>
  <si>
    <t>3M Treasury</t>
  </si>
  <si>
    <t>6M Treasury</t>
  </si>
  <si>
    <t>1Y Treasury</t>
  </si>
  <si>
    <t>2Y Treasury</t>
  </si>
  <si>
    <t>3Y Treasury</t>
  </si>
  <si>
    <t>5Y Treasury</t>
  </si>
  <si>
    <t>7Y Treasury</t>
  </si>
  <si>
    <t>10Y Treasury</t>
  </si>
  <si>
    <t>20Y Treasury</t>
  </si>
  <si>
    <t>30Y Treasury</t>
  </si>
  <si>
    <t>Dow Jones</t>
  </si>
  <si>
    <t>S&amp;P 500</t>
  </si>
  <si>
    <t>Nasdaq</t>
  </si>
  <si>
    <t>% Dow Jones</t>
  </si>
  <si>
    <t>% S&amp;P500</t>
  </si>
  <si>
    <t>% Nasdaq</t>
  </si>
  <si>
    <t>Inflación Subyacente</t>
  </si>
  <si>
    <t>Inflación Anual</t>
  </si>
  <si>
    <t>Rango objetivo superior FED</t>
  </si>
  <si>
    <t>Rango objetivo inferior FED</t>
  </si>
  <si>
    <t>Tasa efectiva FED</t>
  </si>
  <si>
    <t>Tasa de Interés Objetivo Banxico</t>
  </si>
  <si>
    <t>Tasa de Interés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</si>
</sst>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0"/>
      <name val="Courier"/>
      <family val="3"/>
    </font>
    <font>
      <u/>
      <sz val="10"/>
      <color theme="10"/>
      <name val="Courier"/>
      <family val="3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164" fontId="20" fillId="0" borderId="0"/>
    <xf numFmtId="164" fontId="20" fillId="0" borderId="0"/>
    <xf numFmtId="0" fontId="21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14" fontId="0" fillId="0" borderId="0" xfId="0" applyNumberFormat="1"/>
    <xf numFmtId="44" fontId="0" fillId="0" borderId="0" xfId="1" applyFont="1"/>
    <xf numFmtId="10" fontId="0" fillId="0" borderId="0" xfId="0" applyNumberFormat="1" applyAlignment="1">
      <alignment horizontal="center"/>
    </xf>
    <xf numFmtId="10" fontId="0" fillId="0" borderId="0" xfId="0" applyNumberFormat="1"/>
    <xf numFmtId="10" fontId="0" fillId="0" borderId="0" xfId="2" applyNumberFormat="1" applyFont="1"/>
    <xf numFmtId="0" fontId="13" fillId="33" borderId="10" xfId="0" applyFont="1" applyFill="1" applyBorder="1"/>
    <xf numFmtId="10" fontId="0" fillId="0" borderId="11" xfId="0" applyNumberFormat="1" applyBorder="1"/>
    <xf numFmtId="9" fontId="0" fillId="0" borderId="0" xfId="0" applyNumberFormat="1"/>
    <xf numFmtId="0" fontId="22" fillId="0" borderId="0" xfId="0" applyFont="1"/>
    <xf numFmtId="0" fontId="0" fillId="34" borderId="12" xfId="0" applyFill="1" applyBorder="1"/>
    <xf numFmtId="14" fontId="0" fillId="34" borderId="10" xfId="0" applyNumberFormat="1" applyFill="1" applyBorder="1"/>
    <xf numFmtId="10" fontId="0" fillId="0" borderId="0" xfId="0" applyNumberFormat="1" applyAlignment="1">
      <alignment horizontal="center" vertical="center"/>
    </xf>
    <xf numFmtId="10" fontId="0" fillId="34" borderId="10" xfId="0" applyNumberFormat="1" applyFont="1" applyFill="1" applyBorder="1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/>
    <xf numFmtId="14" fontId="0" fillId="0" borderId="0" xfId="0" applyNumberFormat="1"/>
  </cellXfs>
  <cellStyles count="4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Hipervínculo 2" xfId="47" xr:uid="{3CEDA4A3-9976-4188-924C-8989FB7703CE}"/>
    <cellStyle name="Incorrecto" xfId="9" builtinId="27" customBuiltin="1"/>
    <cellStyle name="Moneda" xfId="1" builtinId="4"/>
    <cellStyle name="Neutral" xfId="10" builtinId="28" customBuiltin="1"/>
    <cellStyle name="Normal" xfId="0" builtinId="0"/>
    <cellStyle name="Normal 2" xfId="44" xr:uid="{74F88E50-E0AE-4555-9F58-C9E5156B0A26}"/>
    <cellStyle name="Normal 3 2 2" xfId="46" xr:uid="{EEF2FD27-9350-43C8-82B2-061DBF4D6720}"/>
    <cellStyle name="Normal 8" xfId="45" xr:uid="{7C74F38C-7988-470E-BE4C-4F91532008DF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</dxf>
    <dxf>
      <numFmt numFmtId="19" formatCode="dd/mm/yyyy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EBF79-34BE-422C-9B3B-1ABEB5D5A6E9}" name="Tabla1" displayName="Tabla1" ref="A1:E5" totalsRowShown="0" dataDxfId="28" dataCellStyle="Moneda">
  <autoFilter ref="A1:E5" xr:uid="{89FEBF79-34BE-422C-9B3B-1ABEB5D5A6E9}"/>
  <tableColumns count="5">
    <tableColumn id="1" xr3:uid="{8E09B427-5E44-4BBB-89FC-35463079BE46}" name="Año"/>
    <tableColumn id="2" xr3:uid="{3D7466AA-D045-44D9-96B5-BDFB7062F58C}" name="Fecha" dataDxfId="27"/>
    <tableColumn id="3" xr3:uid="{157C7180-B5CE-4C51-9BD0-3AEECF3B91F1}" name="Tipo de Cambio FIX" dataDxfId="26" dataCellStyle="Moneda"/>
    <tableColumn id="4" xr3:uid="{74B4BBBC-E72A-423F-B8FA-CE596B4E990E}" name="Nivel máximo" dataDxfId="25" dataCellStyle="Moneda"/>
    <tableColumn id="5" xr3:uid="{74EB6E0A-1398-4291-8596-80BA6140571D}" name="Nivel mínimo" dataDxfId="24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FA084B-10DE-49EA-A77A-CF0EB874CD28}" name="Tabla2" displayName="Tabla2" ref="A1:F6" totalsRowShown="0" dataDxfId="23">
  <autoFilter ref="A1:F6" xr:uid="{F4FA084B-10DE-49EA-A77A-CF0EB874CD28}"/>
  <tableColumns count="6">
    <tableColumn id="1" xr3:uid="{B700B119-8C38-4F55-BC79-C4D6BC8E0C88}" name="Año"/>
    <tableColumn id="2" xr3:uid="{47E09E7D-A904-4405-9048-49D33EE0E8EB}" name="Fecha" dataDxfId="22"/>
    <tableColumn id="3" xr3:uid="{0E168449-32EF-450B-812C-11DC4F0F3A30}" name="Tasa de Interés Objetivo" dataDxfId="21"/>
    <tableColumn id="4" xr3:uid="{EE5A2D13-088C-4226-A754-1A001EC14095}" name="TIIE 28 días" dataDxfId="20"/>
    <tableColumn id="5" xr3:uid="{91C093C9-2029-4DE0-AF73-BB6DB79C251D}" name="TIIE 91 días" dataDxfId="19"/>
    <tableColumn id="6" xr3:uid="{B133AA74-E94C-4608-8061-B6BA564978B5}" name="TIIE 182 día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717856-AEC4-4D15-83FE-EF067029218F}" name="Tabla24" displayName="Tabla24" ref="A1:F6" totalsRowShown="0">
  <autoFilter ref="A1:F6" xr:uid="{4E717856-AEC4-4D15-83FE-EF067029218F}"/>
  <tableColumns count="6">
    <tableColumn id="1" xr3:uid="{2E0B3A81-10BF-4919-93D3-DFCB7943009F}" name="Año"/>
    <tableColumn id="2" xr3:uid="{4DDFFDA1-F291-46D8-8D65-F7040EF322C5}" name="Fecha" dataDxfId="17"/>
    <tableColumn id="3" xr3:uid="{772F16E4-347C-44C5-ACC4-C16C0185C7B0}" name="Tasa de Interés Objetivo Banxico"/>
    <tableColumn id="4" xr3:uid="{5355F4FC-28EC-4FFA-B3F8-C7F7D2ED6257}" name="TIIE 28 días"/>
    <tableColumn id="5" xr3:uid="{8F2A0142-D5F1-4DBA-99E4-CD6E3D7E7363}" name="TIIE 91 días"/>
    <tableColumn id="6" xr3:uid="{2B99450C-C287-476E-A955-BBFEB6F07E36}" name="TIIE 182 dí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D25D3A-81CA-4450-B7DF-F71343E59E89}" name="Tabla7" displayName="Tabla7" ref="A1:N2" totalsRowShown="0">
  <autoFilter ref="A1:N2" xr:uid="{41D25D3A-81CA-4450-B7DF-F71343E59E89}"/>
  <tableColumns count="14">
    <tableColumn id="1" xr3:uid="{4B709A46-FEF4-4082-A1C7-4443452E16C3}" name="Año"/>
    <tableColumn id="2" xr3:uid="{288E25E9-721A-4984-9062-39446AEF10A2}" name="Fecha" dataDxfId="16"/>
    <tableColumn id="3" xr3:uid="{B14E5478-3494-4D1C-8F7A-C3666CA59C27}" name="SOFR" dataDxfId="15"/>
    <tableColumn id="4" xr3:uid="{BA101BB9-5BDD-49C2-A01D-82F8C1F40DE3}" name="1M Treasury" dataDxfId="14"/>
    <tableColumn id="5" xr3:uid="{7FE75A9A-7044-4B06-B3A6-F01D3A56E2C5}" name="3M Treasury" dataDxfId="13"/>
    <tableColumn id="6" xr3:uid="{602D7FBF-E731-4F49-9A0B-6365C780F089}" name="6M Treasury" dataDxfId="12"/>
    <tableColumn id="7" xr3:uid="{7887EB81-463F-4BB8-9E84-4229D2CAC9A1}" name="1Y Treasury" dataDxfId="11"/>
    <tableColumn id="8" xr3:uid="{8C5475BF-3FF2-497D-B569-0B378CC77D79}" name="2Y Treasury" dataDxfId="10"/>
    <tableColumn id="9" xr3:uid="{3B424ABE-EF8F-498A-8F4F-7FDBD990A429}" name="3Y Treasury" dataDxfId="9"/>
    <tableColumn id="10" xr3:uid="{383F89E5-27BF-4792-BA7B-6E4263B946C9}" name="5Y Treasury" dataDxfId="8"/>
    <tableColumn id="11" xr3:uid="{A94CC5AD-A6E2-4E44-AAAF-147E46B23BA1}" name="7Y Treasury" dataDxfId="7"/>
    <tableColumn id="12" xr3:uid="{BA073A53-DD09-4842-A47E-B2F4D2CD2F0B}" name="10Y Treasury" dataDxfId="6"/>
    <tableColumn id="13" xr3:uid="{0AB1292E-1821-4704-ACB3-22F12D9A1EBD}" name="20Y Treasury" dataDxfId="5"/>
    <tableColumn id="14" xr3:uid="{FCEEF9DA-C290-458F-AEF1-C46CBE6DCD16}" name="30Y Treasury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483F90-A69D-4E36-9F78-F36E94A075B5}" name="Tabla8" displayName="Tabla8" ref="A1:H5" totalsRowShown="0">
  <autoFilter ref="A1:H5" xr:uid="{E8483F90-A69D-4E36-9F78-F36E94A075B5}"/>
  <tableColumns count="8">
    <tableColumn id="1" xr3:uid="{7676C863-947F-4296-8B2C-4C1C2493E9D9}" name="Año"/>
    <tableColumn id="2" xr3:uid="{55C318C8-9926-4D62-8294-177D6BC0FE75}" name="Fecha" dataDxfId="3"/>
    <tableColumn id="3" xr3:uid="{1D145B8D-1465-4EF3-BECF-49ACE623BEC5}" name="Dow Jones"/>
    <tableColumn id="4" xr3:uid="{F2357A84-5C07-4E65-841A-42DAECACF403}" name="S&amp;P 500"/>
    <tableColumn id="5" xr3:uid="{388751CA-0A21-4A09-8009-2BB8B01233CE}" name="Nasdaq"/>
    <tableColumn id="6" xr3:uid="{DEF693B5-3B7C-424D-8BCC-52947BCEC3CF}" name="% Dow Jones" dataDxfId="2">
      <calculatedColumnFormula>IFERROR((Tabla8[[#This Row],[Dow Jones]]-C1)/C1,"")</calculatedColumnFormula>
    </tableColumn>
    <tableColumn id="7" xr3:uid="{A64DA0F4-44F9-4388-B98F-ED267001BCC9}" name="% S&amp;P500" dataDxfId="1">
      <calculatedColumnFormula>IFERROR((Tabla8[[#This Row],[S&amp;P 500]]-D1)/D1,"")</calculatedColumnFormula>
    </tableColumn>
    <tableColumn id="8" xr3:uid="{9B8FC688-A5F6-4240-9AD9-64ED7FF46AD3}" name="% Nasdaq" dataDxfId="0">
      <calculatedColumnFormula>IFERROR((Tabla8[[#This Row],[Nasdaq]]-E1)/E1,"")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4731-B44C-4F20-9A44-95C4BD8A73FF}">
  <dimension ref="A1:E5"/>
  <sheetViews>
    <sheetView workbookViewId="0">
      <selection activeCell="A5" sqref="A5"/>
    </sheetView>
  </sheetViews>
  <sheetFormatPr baseColWidth="10" defaultRowHeight="14.4" x14ac:dyDescent="0.3"/>
  <cols>
    <col min="3" max="3" width="19" customWidth="1"/>
    <col min="4" max="4" width="14.33203125" customWidth="1"/>
    <col min="5" max="5" width="14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6</v>
      </c>
      <c r="E1" t="s">
        <v>7</v>
      </c>
    </row>
    <row r="2" spans="1:5" x14ac:dyDescent="0.3">
      <c r="A2">
        <v>2025</v>
      </c>
      <c r="B2" s="1">
        <v>45960</v>
      </c>
      <c r="C2" s="2">
        <v>18.538</v>
      </c>
      <c r="D2" s="2">
        <v>18.568000000000001</v>
      </c>
      <c r="E2" s="2">
        <v>18.515000000000001</v>
      </c>
    </row>
    <row r="3" spans="1:5" x14ac:dyDescent="0.3">
      <c r="A3">
        <v>2025</v>
      </c>
      <c r="B3" s="1">
        <v>45961</v>
      </c>
      <c r="C3" s="2">
        <v>18.572500000000002</v>
      </c>
      <c r="D3" s="2">
        <v>18.597999999999999</v>
      </c>
      <c r="E3" s="2">
        <v>18.545999999999999</v>
      </c>
    </row>
    <row r="4" spans="1:5" x14ac:dyDescent="0.3">
      <c r="A4">
        <v>2025</v>
      </c>
      <c r="B4" s="1">
        <v>45964</v>
      </c>
      <c r="C4" s="2">
        <v>18.483499999999999</v>
      </c>
      <c r="D4" s="2">
        <v>18.512</v>
      </c>
      <c r="E4" s="2">
        <v>18.466999999999999</v>
      </c>
    </row>
    <row r="5" spans="1:5" x14ac:dyDescent="0.3">
      <c r="A5" s="14">
        <v>2025</v>
      </c>
      <c r="B5" s="15">
        <v>45965</v>
      </c>
      <c r="C5" s="2">
        <v>18.613299999999999</v>
      </c>
      <c r="D5" s="2">
        <v>18.663</v>
      </c>
      <c r="E5" s="2">
        <v>18.587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E10B-CC5B-4887-BA9F-8638E71CB003}">
  <dimension ref="A1:G9"/>
  <sheetViews>
    <sheetView workbookViewId="0">
      <selection activeCell="A6" sqref="A6:F6"/>
    </sheetView>
  </sheetViews>
  <sheetFormatPr baseColWidth="10" defaultRowHeight="14.4" x14ac:dyDescent="0.3"/>
  <cols>
    <col min="3" max="3" width="23.109375" customWidth="1"/>
    <col min="4" max="5" width="12.21875" customWidth="1"/>
    <col min="6" max="6" width="13.21875" customWidth="1"/>
  </cols>
  <sheetData>
    <row r="1" spans="1:7" x14ac:dyDescent="0.3">
      <c r="A1" t="s">
        <v>2</v>
      </c>
      <c r="B1" t="s">
        <v>0</v>
      </c>
      <c r="C1" t="s">
        <v>32</v>
      </c>
      <c r="D1" t="s">
        <v>3</v>
      </c>
      <c r="E1" t="s">
        <v>4</v>
      </c>
      <c r="F1" t="s">
        <v>5</v>
      </c>
    </row>
    <row r="2" spans="1:7" x14ac:dyDescent="0.3">
      <c r="A2">
        <v>2025</v>
      </c>
      <c r="B2" s="1">
        <v>45960</v>
      </c>
      <c r="C2" s="3">
        <v>7.4999999999999997E-2</v>
      </c>
      <c r="D2" s="3">
        <v>7.8200000000000006E-2</v>
      </c>
      <c r="E2" s="3">
        <v>7.8700000000000006E-2</v>
      </c>
      <c r="F2" s="3">
        <v>7.9500000000000001E-2</v>
      </c>
    </row>
    <row r="3" spans="1:7" x14ac:dyDescent="0.3">
      <c r="A3">
        <v>2025</v>
      </c>
      <c r="B3" s="1">
        <v>45961</v>
      </c>
      <c r="C3" s="3">
        <v>7.4999999999999997E-2</v>
      </c>
      <c r="D3" s="3">
        <v>7.7799999999999994E-2</v>
      </c>
      <c r="E3" s="3">
        <v>7.8299999999999995E-2</v>
      </c>
      <c r="F3" s="3">
        <v>7.9000000000000001E-2</v>
      </c>
    </row>
    <row r="4" spans="1:7" x14ac:dyDescent="0.3">
      <c r="A4">
        <v>2025</v>
      </c>
      <c r="B4" s="1">
        <v>45964</v>
      </c>
      <c r="C4" s="3">
        <v>7.4999999999999997E-2</v>
      </c>
      <c r="D4" s="3">
        <v>7.7799999999999994E-2</v>
      </c>
      <c r="E4" s="3">
        <v>7.8299999999999995E-2</v>
      </c>
      <c r="F4" s="3">
        <v>7.9000000000000001E-2</v>
      </c>
    </row>
    <row r="5" spans="1:7" x14ac:dyDescent="0.3">
      <c r="A5">
        <v>2025</v>
      </c>
      <c r="B5" s="1">
        <v>45965</v>
      </c>
      <c r="C5" s="3">
        <v>7.4999999999999997E-2</v>
      </c>
      <c r="D5" s="3">
        <v>7.8700000000000006E-2</v>
      </c>
      <c r="E5" s="3">
        <v>7.9200000000000007E-2</v>
      </c>
      <c r="F5" s="3">
        <v>0.08</v>
      </c>
    </row>
    <row r="6" spans="1:7" x14ac:dyDescent="0.3">
      <c r="A6" s="16">
        <v>2025</v>
      </c>
      <c r="B6" s="17">
        <v>45966</v>
      </c>
      <c r="C6" s="12">
        <v>7.4999999999999997E-2</v>
      </c>
      <c r="D6" s="12">
        <v>7.7799999999999994E-2</v>
      </c>
      <c r="E6" s="12">
        <v>7.8299999999999995E-2</v>
      </c>
      <c r="F6" s="12">
        <v>7.9000000000000001E-2</v>
      </c>
    </row>
    <row r="9" spans="1:7" x14ac:dyDescent="0.3">
      <c r="G9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BFFC-676F-4493-85F5-BF4178BC747B}">
  <dimension ref="A1:F6"/>
  <sheetViews>
    <sheetView workbookViewId="0">
      <selection activeCell="A6" sqref="A6:F6"/>
    </sheetView>
  </sheetViews>
  <sheetFormatPr baseColWidth="10" defaultRowHeight="14.4" x14ac:dyDescent="0.3"/>
  <cols>
    <col min="3" max="3" width="23.109375" customWidth="1"/>
    <col min="4" max="5" width="12.21875" customWidth="1"/>
    <col min="6" max="6" width="13.21875" customWidth="1"/>
  </cols>
  <sheetData>
    <row r="1" spans="1:6" x14ac:dyDescent="0.3">
      <c r="A1" t="s">
        <v>2</v>
      </c>
      <c r="B1" t="s">
        <v>0</v>
      </c>
      <c r="C1" t="s">
        <v>31</v>
      </c>
      <c r="D1" t="s">
        <v>3</v>
      </c>
      <c r="E1" t="s">
        <v>4</v>
      </c>
      <c r="F1" t="s">
        <v>5</v>
      </c>
    </row>
    <row r="2" spans="1:6" x14ac:dyDescent="0.3">
      <c r="A2">
        <v>2025</v>
      </c>
      <c r="B2" s="1">
        <v>45960</v>
      </c>
      <c r="C2" s="3">
        <v>7.4999999999999997E-2</v>
      </c>
      <c r="D2" s="3">
        <v>7.8200000000000006E-2</v>
      </c>
      <c r="E2" s="3">
        <v>7.8700000000000006E-2</v>
      </c>
      <c r="F2" s="3">
        <v>7.9500000000000001E-2</v>
      </c>
    </row>
    <row r="3" spans="1:6" x14ac:dyDescent="0.3">
      <c r="A3">
        <v>2025</v>
      </c>
      <c r="B3" s="1">
        <v>45961</v>
      </c>
      <c r="C3" s="3">
        <v>7.4999999999999997E-2</v>
      </c>
      <c r="D3" s="3">
        <v>7.7799999999999994E-2</v>
      </c>
      <c r="E3" s="3">
        <v>7.8299999999999995E-2</v>
      </c>
      <c r="F3" s="3">
        <v>7.9000000000000001E-2</v>
      </c>
    </row>
    <row r="4" spans="1:6" x14ac:dyDescent="0.3">
      <c r="A4">
        <v>2025</v>
      </c>
      <c r="B4" s="1">
        <v>45964</v>
      </c>
      <c r="C4" s="3">
        <v>7.4999999999999997E-2</v>
      </c>
      <c r="D4" s="3">
        <v>7.7799999999999994E-2</v>
      </c>
      <c r="E4" s="3">
        <v>7.8299999999999995E-2</v>
      </c>
      <c r="F4" s="3">
        <v>7.9000000000000001E-2</v>
      </c>
    </row>
    <row r="5" spans="1:6" x14ac:dyDescent="0.3">
      <c r="A5">
        <v>2025</v>
      </c>
      <c r="B5" s="1">
        <v>45965</v>
      </c>
      <c r="C5" s="3">
        <v>7.4999999999999997E-2</v>
      </c>
      <c r="D5" s="3">
        <v>7.8700000000000006E-2</v>
      </c>
      <c r="E5" s="3">
        <v>7.9200000000000007E-2</v>
      </c>
      <c r="F5" s="3">
        <v>0.08</v>
      </c>
    </row>
    <row r="6" spans="1:6" x14ac:dyDescent="0.3">
      <c r="A6" s="16">
        <v>2025</v>
      </c>
      <c r="B6" s="17">
        <v>45966</v>
      </c>
      <c r="C6" s="12">
        <v>7.4999999999999997E-2</v>
      </c>
      <c r="D6" s="12">
        <v>7.7799999999999994E-2</v>
      </c>
      <c r="E6" s="12">
        <v>7.8299999999999995E-2</v>
      </c>
      <c r="F6" s="12">
        <v>7.9000000000000001E-2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A3E5-7422-42F6-B226-5BFEA691299B}">
  <dimension ref="A1:N5"/>
  <sheetViews>
    <sheetView workbookViewId="0">
      <selection activeCell="E16" sqref="E16"/>
    </sheetView>
  </sheetViews>
  <sheetFormatPr baseColWidth="10" defaultRowHeight="14.4" x14ac:dyDescent="0.3"/>
  <cols>
    <col min="1" max="1" width="6.33203125" customWidth="1"/>
    <col min="5" max="7" width="13.33203125" customWidth="1"/>
    <col min="8" max="12" width="12.5546875" customWidth="1"/>
    <col min="13" max="15" width="13.5546875" customWidth="1"/>
  </cols>
  <sheetData>
    <row r="1" spans="1:14" x14ac:dyDescent="0.3">
      <c r="A1" t="s">
        <v>2</v>
      </c>
      <c r="B1" t="s">
        <v>0</v>
      </c>
      <c r="C1" s="6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</row>
    <row r="2" spans="1:14" x14ac:dyDescent="0.3">
      <c r="A2">
        <v>2025</v>
      </c>
      <c r="B2" s="1">
        <v>45960</v>
      </c>
      <c r="C2" s="7">
        <v>4.0399999999999998E-2</v>
      </c>
      <c r="D2" s="4">
        <v>4.0500000000000001E-2</v>
      </c>
      <c r="E2" s="4">
        <v>3.9199999999999999E-2</v>
      </c>
      <c r="F2" s="4">
        <v>3.7900000000000003E-2</v>
      </c>
      <c r="G2" s="4">
        <v>3.6999999999999998E-2</v>
      </c>
      <c r="H2" s="4">
        <v>3.61E-2</v>
      </c>
      <c r="I2" s="4">
        <v>3.61E-2</v>
      </c>
      <c r="J2" s="4">
        <v>3.7199999999999997E-2</v>
      </c>
      <c r="K2" s="4">
        <v>3.9E-2</v>
      </c>
      <c r="L2" s="4">
        <v>4.1099999999999998E-2</v>
      </c>
      <c r="M2" s="4">
        <v>4.6399999999999997E-2</v>
      </c>
      <c r="N2" s="4">
        <v>4.65E-2</v>
      </c>
    </row>
    <row r="3" spans="1:14" x14ac:dyDescent="0.3">
      <c r="A3">
        <v>2025</v>
      </c>
      <c r="B3" s="1">
        <v>45961</v>
      </c>
      <c r="C3" s="4">
        <v>4.2200000000000001E-2</v>
      </c>
      <c r="D3" s="4">
        <v>4.0599999999999997E-2</v>
      </c>
      <c r="E3" s="4">
        <v>3.8899999999999997E-2</v>
      </c>
      <c r="F3" s="4">
        <v>3.7900000000000003E-2</v>
      </c>
      <c r="G3" s="4">
        <v>3.6999999999999998E-2</v>
      </c>
      <c r="H3" s="4">
        <v>3.5999999999999997E-2</v>
      </c>
      <c r="I3" s="4">
        <v>3.5999999999999997E-2</v>
      </c>
      <c r="J3" s="4">
        <v>3.7100000000000001E-2</v>
      </c>
      <c r="K3" s="4">
        <v>3.8899999999999997E-2</v>
      </c>
      <c r="L3" s="4">
        <v>4.1099999999999998E-2</v>
      </c>
      <c r="M3" s="4">
        <v>4.65E-2</v>
      </c>
      <c r="N3" s="4">
        <v>4.6699999999999998E-2</v>
      </c>
    </row>
    <row r="4" spans="1:14" x14ac:dyDescent="0.3">
      <c r="A4">
        <v>2025</v>
      </c>
      <c r="B4" s="11">
        <v>45964</v>
      </c>
      <c r="C4" s="4">
        <v>4.2200000000000001E-2</v>
      </c>
      <c r="D4" s="5">
        <v>4.0599999999999997E-2</v>
      </c>
      <c r="E4" s="5">
        <v>3.9800000000000002E-2</v>
      </c>
      <c r="F4" s="5">
        <v>3.7999999999999999E-2</v>
      </c>
      <c r="G4" s="5">
        <v>3.7000000000000005E-2</v>
      </c>
      <c r="H4" s="5">
        <v>3.6000000000000004E-2</v>
      </c>
      <c r="I4" s="5">
        <v>3.61E-2</v>
      </c>
      <c r="J4" s="5">
        <v>3.7200000000000004E-2</v>
      </c>
      <c r="K4" s="5">
        <v>3.9E-2</v>
      </c>
      <c r="L4" s="5">
        <v>4.1299999999999996E-2</v>
      </c>
      <c r="M4" s="5">
        <v>4.6699999999999998E-2</v>
      </c>
      <c r="N4" s="5">
        <v>4.6900000000000004E-2</v>
      </c>
    </row>
    <row r="5" spans="1:14" x14ac:dyDescent="0.3">
      <c r="A5">
        <v>2025</v>
      </c>
      <c r="B5" s="17">
        <v>45965</v>
      </c>
      <c r="C5" s="13">
        <v>0.04</v>
      </c>
      <c r="D5" s="5">
        <v>4.0199999999999993E-2</v>
      </c>
      <c r="E5" s="5">
        <v>3.9599999999999996E-2</v>
      </c>
      <c r="F5" s="5">
        <v>3.78E-2</v>
      </c>
      <c r="G5" s="5">
        <v>3.6699999999999997E-2</v>
      </c>
      <c r="H5" s="5">
        <v>3.5799999999999998E-2</v>
      </c>
      <c r="I5" s="5">
        <v>3.5900000000000001E-2</v>
      </c>
      <c r="J5" s="5">
        <v>3.6900000000000002E-2</v>
      </c>
      <c r="K5" s="5">
        <v>3.8800000000000001E-2</v>
      </c>
      <c r="L5" s="5">
        <v>4.0999999999999995E-2</v>
      </c>
      <c r="M5" s="5">
        <v>4.6500000000000007E-2</v>
      </c>
      <c r="N5" s="5">
        <v>4.6699999999999998E-2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7ED1-F67A-4D3F-B065-CA644B535717}">
  <dimension ref="A1:H5"/>
  <sheetViews>
    <sheetView tabSelected="1" workbookViewId="0">
      <selection activeCell="D22" sqref="D22"/>
    </sheetView>
  </sheetViews>
  <sheetFormatPr baseColWidth="10" defaultRowHeight="14.4" x14ac:dyDescent="0.3"/>
  <cols>
    <col min="3" max="3" width="11.77734375" customWidth="1"/>
  </cols>
  <sheetData>
    <row r="1" spans="1:8" x14ac:dyDescent="0.3">
      <c r="A1" t="s">
        <v>2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>
        <v>2025</v>
      </c>
      <c r="B2" s="1">
        <v>45960</v>
      </c>
      <c r="C2">
        <v>47522.12109375</v>
      </c>
      <c r="D2">
        <v>6822.33984375</v>
      </c>
      <c r="E2">
        <v>23581.140625</v>
      </c>
      <c r="F2" s="5" t="str">
        <f>IFERROR((Tabla8[[#This Row],[Dow Jones]]-#REF!)/#REF!,"")</f>
        <v/>
      </c>
      <c r="G2" s="5" t="str">
        <f>IFERROR((Tabla8[[#This Row],[S&amp;P 500]]-#REF!)/#REF!,"")</f>
        <v/>
      </c>
      <c r="H2" s="5" t="str">
        <f>IFERROR((Tabla8[[#This Row],[Nasdaq]]-#REF!)/#REF!,"")</f>
        <v/>
      </c>
    </row>
    <row r="3" spans="1:8" x14ac:dyDescent="0.3">
      <c r="A3">
        <v>2025</v>
      </c>
      <c r="B3" s="1">
        <v>45961</v>
      </c>
      <c r="C3">
        <v>47562.87109375</v>
      </c>
      <c r="D3">
        <v>6840.2001953125</v>
      </c>
      <c r="E3">
        <v>23724.9609375</v>
      </c>
      <c r="F3" s="5">
        <f>IFERROR((Tabla8[[#This Row],[Dow Jones]]-C2)/C2,"")</f>
        <v>8.5749539503108055E-4</v>
      </c>
      <c r="G3" s="5">
        <f>IFERROR((Tabla8[[#This Row],[S&amp;P 500]]-D2)/D2,"")</f>
        <v>2.6179217059762879E-3</v>
      </c>
      <c r="H3" s="5">
        <f>IFERROR((Tabla8[[#This Row],[Nasdaq]]-E2)/E2,"")</f>
        <v>6.0989548719083643E-3</v>
      </c>
    </row>
    <row r="4" spans="1:8" x14ac:dyDescent="0.3">
      <c r="A4">
        <v>2025</v>
      </c>
      <c r="B4" s="11">
        <v>45964</v>
      </c>
      <c r="C4">
        <v>47336.6796875</v>
      </c>
      <c r="D4">
        <v>6851.97021484375</v>
      </c>
      <c r="E4">
        <v>23834.720703125</v>
      </c>
      <c r="F4" s="5">
        <f>IFERROR((Tabla8[[#This Row],[Dow Jones]]-C3)/C3,"")</f>
        <v>-4.7556297811408334E-3</v>
      </c>
      <c r="G4" s="5">
        <f>IFERROR((Tabla8[[#This Row],[S&amp;P 500]]-D3)/D3,"")</f>
        <v>1.7207127269923826E-3</v>
      </c>
      <c r="H4" s="5">
        <f>IFERROR((Tabla8[[#This Row],[Nasdaq]]-E3)/E3,"")</f>
        <v>4.6263412578063387E-3</v>
      </c>
    </row>
    <row r="5" spans="1:8" x14ac:dyDescent="0.3">
      <c r="A5" s="19">
        <v>2025</v>
      </c>
      <c r="B5" s="20">
        <v>45965</v>
      </c>
      <c r="C5" s="19">
        <v>47085.23828125</v>
      </c>
      <c r="D5" s="19">
        <v>6771.5498046875</v>
      </c>
      <c r="E5" s="19">
        <v>23348.640625</v>
      </c>
      <c r="F5" s="5">
        <f>IFERROR((Tabla8[[#This Row],[Dow Jones]]-C4)/C4,"")</f>
        <v>-5.3117668562714399E-3</v>
      </c>
      <c r="G5" s="5">
        <f>IFERROR((Tabla8[[#This Row],[S&amp;P 500]]-D4)/D4,"")</f>
        <v>-1.1736830084583764E-2</v>
      </c>
      <c r="H5" s="5">
        <f>IFERROR((Tabla8[[#This Row],[Nasdaq]]-E4)/E4,"")</f>
        <v>-2.039378116401714E-2</v>
      </c>
    </row>
  </sheetData>
  <phoneticPr fontId="1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41C0-37A8-48F7-8F55-1334D82BCF20}">
  <dimension ref="A1:D5"/>
  <sheetViews>
    <sheetView workbookViewId="0">
      <selection activeCell="F18" sqref="F18"/>
    </sheetView>
  </sheetViews>
  <sheetFormatPr baseColWidth="10" defaultRowHeight="14.4" x14ac:dyDescent="0.3"/>
  <cols>
    <col min="3" max="3" width="14.21875" customWidth="1"/>
  </cols>
  <sheetData>
    <row r="1" spans="1:4" x14ac:dyDescent="0.3">
      <c r="A1" t="s">
        <v>2</v>
      </c>
      <c r="B1" t="s">
        <v>0</v>
      </c>
      <c r="C1" t="s">
        <v>27</v>
      </c>
      <c r="D1" t="s">
        <v>26</v>
      </c>
    </row>
    <row r="2" spans="1:4" x14ac:dyDescent="0.3">
      <c r="A2">
        <v>2025</v>
      </c>
      <c r="B2" s="1">
        <v>45809</v>
      </c>
      <c r="C2" s="4">
        <v>2.6700000000000002E-2</v>
      </c>
      <c r="D2" s="4">
        <v>2.9100000000000001E-2</v>
      </c>
    </row>
    <row r="3" spans="1:4" x14ac:dyDescent="0.3">
      <c r="A3">
        <v>2025</v>
      </c>
      <c r="B3" s="1">
        <v>45839</v>
      </c>
      <c r="C3" s="4">
        <v>2.7300000000000001E-2</v>
      </c>
      <c r="D3" s="4">
        <v>3.0499999999999999E-2</v>
      </c>
    </row>
    <row r="4" spans="1:4" x14ac:dyDescent="0.3">
      <c r="A4">
        <v>2025</v>
      </c>
      <c r="B4" s="1">
        <v>45870</v>
      </c>
      <c r="C4" s="4">
        <v>2.9399999999999999E-2</v>
      </c>
      <c r="D4" s="4">
        <v>3.1099999999999999E-2</v>
      </c>
    </row>
    <row r="5" spans="1:4" x14ac:dyDescent="0.3">
      <c r="A5">
        <v>2025</v>
      </c>
      <c r="B5" s="1">
        <v>45901</v>
      </c>
      <c r="C5" s="4">
        <v>3.0200000000000001E-2</v>
      </c>
      <c r="D5" s="4">
        <v>3.0300000000000001E-2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52AB-9F4D-4048-B6BB-4409FE75ED91}">
  <dimension ref="A1:D5"/>
  <sheetViews>
    <sheetView workbookViewId="0">
      <selection activeCell="E5" sqref="E5"/>
    </sheetView>
  </sheetViews>
  <sheetFormatPr baseColWidth="10" defaultRowHeight="14.4" x14ac:dyDescent="0.3"/>
  <sheetData>
    <row r="1" spans="1:4" x14ac:dyDescent="0.3">
      <c r="A1" t="s">
        <v>2</v>
      </c>
      <c r="B1" t="s">
        <v>0</v>
      </c>
      <c r="C1" t="s">
        <v>27</v>
      </c>
      <c r="D1" t="s">
        <v>26</v>
      </c>
    </row>
    <row r="2" spans="1:4" x14ac:dyDescent="0.3">
      <c r="A2">
        <v>2025</v>
      </c>
      <c r="B2" s="1">
        <v>45809</v>
      </c>
      <c r="C2" s="4">
        <v>4.3200000000000002E-2</v>
      </c>
      <c r="D2" s="4">
        <v>4.24E-2</v>
      </c>
    </row>
    <row r="3" spans="1:4" x14ac:dyDescent="0.3">
      <c r="A3">
        <v>2025</v>
      </c>
      <c r="B3" s="1">
        <v>45839</v>
      </c>
      <c r="C3" s="4">
        <v>3.5099999999999999E-2</v>
      </c>
      <c r="D3" s="4">
        <v>4.2299999999999997E-2</v>
      </c>
    </row>
    <row r="4" spans="1:4" x14ac:dyDescent="0.3">
      <c r="A4">
        <v>2025</v>
      </c>
      <c r="B4" s="1">
        <v>45870</v>
      </c>
      <c r="C4" s="4">
        <v>3.5700000000000003E-2</v>
      </c>
      <c r="D4" s="4">
        <v>4.2299999999999997E-2</v>
      </c>
    </row>
    <row r="5" spans="1:4" x14ac:dyDescent="0.3">
      <c r="A5">
        <v>2025</v>
      </c>
      <c r="B5" s="1">
        <v>45901</v>
      </c>
      <c r="C5" s="4">
        <v>3.7600000000000001E-2</v>
      </c>
      <c r="D5" s="4">
        <v>4.2799999999999998E-2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28CC-3545-439B-8305-CE331A9F0964}">
  <dimension ref="A1:E5"/>
  <sheetViews>
    <sheetView workbookViewId="0">
      <selection activeCell="D5" sqref="D5:E5"/>
    </sheetView>
  </sheetViews>
  <sheetFormatPr baseColWidth="10" defaultRowHeight="14.4" x14ac:dyDescent="0.3"/>
  <sheetData>
    <row r="1" spans="1:5" x14ac:dyDescent="0.3">
      <c r="A1" t="s">
        <v>2</v>
      </c>
      <c r="B1" t="s">
        <v>0</v>
      </c>
      <c r="C1" t="s">
        <v>30</v>
      </c>
      <c r="D1" t="s">
        <v>28</v>
      </c>
      <c r="E1" t="s">
        <v>29</v>
      </c>
    </row>
    <row r="2" spans="1:5" x14ac:dyDescent="0.3">
      <c r="A2">
        <v>2025</v>
      </c>
      <c r="B2" s="1">
        <v>45960</v>
      </c>
      <c r="C2" s="4">
        <v>3.8699999999999998E-2</v>
      </c>
      <c r="D2" s="8">
        <v>0.04</v>
      </c>
      <c r="E2" s="4">
        <v>3.7499999999999999E-2</v>
      </c>
    </row>
    <row r="3" spans="1:5" x14ac:dyDescent="0.3">
      <c r="A3">
        <v>2025</v>
      </c>
      <c r="B3" s="1">
        <v>45961</v>
      </c>
      <c r="C3" s="4">
        <v>3.8699999999999998E-2</v>
      </c>
      <c r="D3" s="8">
        <v>0.04</v>
      </c>
      <c r="E3" s="4">
        <v>3.7499999999999999E-2</v>
      </c>
    </row>
    <row r="4" spans="1:5" x14ac:dyDescent="0.3">
      <c r="A4" s="10">
        <v>2025</v>
      </c>
      <c r="B4" s="11">
        <v>45964</v>
      </c>
      <c r="C4" s="4">
        <v>3.8699999999999998E-2</v>
      </c>
      <c r="D4" s="8">
        <v>0.04</v>
      </c>
      <c r="E4" s="4">
        <v>3.7499999999999999E-2</v>
      </c>
    </row>
    <row r="5" spans="1:5" x14ac:dyDescent="0.3">
      <c r="A5" s="19">
        <v>2025</v>
      </c>
      <c r="B5" s="17">
        <v>45965</v>
      </c>
      <c r="C5" s="18">
        <v>3.8599999999999995E-2</v>
      </c>
      <c r="D5" s="8">
        <v>0.04</v>
      </c>
      <c r="E5" s="18">
        <v>3.7499999999999999E-2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Tipo de Cambio</vt:lpstr>
      <vt:lpstr>Tasas de interés2</vt:lpstr>
      <vt:lpstr>Tasas de interés</vt:lpstr>
      <vt:lpstr>Treasuries_SOFR</vt:lpstr>
      <vt:lpstr>Wallstreet</vt:lpstr>
      <vt:lpstr>InflaciónUS</vt:lpstr>
      <vt:lpstr>InflaciónMEX</vt:lpstr>
      <vt:lpstr>Tasas de interés US2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Daniel Santiago Vidargas</dc:creator>
  <cp:lastModifiedBy>Luis Daniel Santiago Vidargas</cp:lastModifiedBy>
  <dcterms:created xsi:type="dcterms:W3CDTF">2025-07-14T00:54:33Z</dcterms:created>
  <dcterms:modified xsi:type="dcterms:W3CDTF">2025-11-05T15:35:16Z</dcterms:modified>
</cp:coreProperties>
</file>