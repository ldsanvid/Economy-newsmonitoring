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02D9FF9E-3402-45B3-89EB-F56222AB323A}" xr6:coauthVersionLast="47" xr6:coauthVersionMax="47" xr10:uidLastSave="{00000000-0000-0000-0000-000000000000}"/>
  <bookViews>
    <workbookView xWindow="-108" yWindow="-108" windowWidth="23256" windowHeight="12576" firstSheet="2" activeTab="7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12" i="6" l="1"/>
  <c r="G12" i="6"/>
  <c r="H12" i="6"/>
  <c r="F11" i="6"/>
  <c r="G11" i="6"/>
  <c r="H11" i="6"/>
  <c r="F10" i="6"/>
  <c r="G10" i="6"/>
  <c r="H10" i="6"/>
  <c r="F9" i="6"/>
  <c r="G9" i="6"/>
  <c r="H9" i="6"/>
  <c r="F8" i="6"/>
  <c r="G8" i="6"/>
  <c r="H8" i="6"/>
  <c r="F7" i="6"/>
  <c r="G7" i="6"/>
  <c r="H7" i="6"/>
  <c r="F6" i="6"/>
  <c r="G6" i="6"/>
  <c r="H6" i="6"/>
  <c r="F5" i="6"/>
  <c r="G5" i="6"/>
  <c r="H5" i="6"/>
  <c r="H4" i="6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<sst xmlns="http://schemas.openxmlformats.org/spreadsheetml/2006/main" count="52" uniqueCount="33">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</sst>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22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0" fontId="0" fillId="0" borderId="0" xfId="0" applyNumberFormat="1" applyAlignment="1">
      <alignment horizontal="center" vertical="center"/>
    </xf>
    <xf numFmtId="10" fontId="0" fillId="34" borderId="10" xfId="0" applyNumberFormat="1" applyFill="1" applyBorder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/>
    <xf numFmtId="14" fontId="0" fillId="0" borderId="0" xfId="0" applyNumberFormat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12" totalsRowShown="0" dataDxfId="28" dataCellStyle="Moneda">
  <autoFilter ref="A1:E12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13" totalsRowShown="0" dataDxfId="23">
  <autoFilter ref="A1:F13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13" totalsRowShown="0">
  <autoFilter ref="A1:F13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12" totalsRowShown="0">
  <autoFilter ref="A1:H12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12"/>
  <sheetViews>
    <sheetView workbookViewId="0">
      <selection activeCell="G10" sqref="G10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  <row r="5" spans="1:5" x14ac:dyDescent="0.3">
      <c r="A5">
        <v>2025</v>
      </c>
      <c r="B5" s="1">
        <v>45965</v>
      </c>
      <c r="C5" s="2">
        <v>18.613299999999999</v>
      </c>
      <c r="D5" s="2">
        <v>18.663</v>
      </c>
      <c r="E5" s="2">
        <v>18.587</v>
      </c>
    </row>
    <row r="6" spans="1:5" x14ac:dyDescent="0.3">
      <c r="A6">
        <v>2025</v>
      </c>
      <c r="B6" s="1">
        <v>45966</v>
      </c>
      <c r="C6" s="2">
        <v>18.5947</v>
      </c>
      <c r="D6" s="2">
        <v>18.628</v>
      </c>
      <c r="E6" s="2">
        <v>18.574000000000002</v>
      </c>
    </row>
    <row r="7" spans="1:5" x14ac:dyDescent="0.3">
      <c r="A7">
        <v>2025</v>
      </c>
      <c r="B7" s="1">
        <v>45967</v>
      </c>
      <c r="C7" s="2">
        <v>18.6233</v>
      </c>
      <c r="D7" s="2">
        <v>18.66</v>
      </c>
      <c r="E7" s="2">
        <v>18.553000000000001</v>
      </c>
    </row>
    <row r="8" spans="1:5" x14ac:dyDescent="0.3">
      <c r="A8">
        <v>2025</v>
      </c>
      <c r="B8" s="1">
        <v>45968</v>
      </c>
      <c r="C8" s="2">
        <v>18.5</v>
      </c>
      <c r="D8" s="2">
        <v>18.529</v>
      </c>
      <c r="E8" s="2">
        <v>18.446999999999999</v>
      </c>
    </row>
    <row r="9" spans="1:5" x14ac:dyDescent="0.3">
      <c r="A9">
        <v>2025</v>
      </c>
      <c r="B9" s="1">
        <v>45971</v>
      </c>
      <c r="C9" s="2">
        <v>18.392199999999999</v>
      </c>
      <c r="D9" s="2">
        <v>18.411999999999999</v>
      </c>
      <c r="E9" s="2">
        <v>18.367999999999999</v>
      </c>
    </row>
    <row r="10" spans="1:5" x14ac:dyDescent="0.3">
      <c r="A10">
        <v>2025</v>
      </c>
      <c r="B10" s="1">
        <v>45972</v>
      </c>
      <c r="C10" s="2">
        <v>18.333300000000001</v>
      </c>
      <c r="D10" s="2">
        <v>18.364000000000001</v>
      </c>
      <c r="E10" s="2">
        <v>18.314</v>
      </c>
    </row>
    <row r="11" spans="1:5" x14ac:dyDescent="0.3">
      <c r="A11">
        <v>2025</v>
      </c>
      <c r="B11" s="1">
        <v>45973</v>
      </c>
      <c r="C11" s="2">
        <v>18.298200000000001</v>
      </c>
      <c r="D11" s="2">
        <v>18.317</v>
      </c>
      <c r="E11" s="2">
        <v>18.292999999999999</v>
      </c>
    </row>
    <row r="12" spans="1:5" x14ac:dyDescent="0.3">
      <c r="A12">
        <v>2025</v>
      </c>
      <c r="B12" s="14">
        <v>45974</v>
      </c>
      <c r="C12" s="2">
        <v>18.2805</v>
      </c>
      <c r="D12" s="2">
        <v>18.338999999999999</v>
      </c>
      <c r="E12" s="2">
        <v>18.257999999999999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13"/>
  <sheetViews>
    <sheetView workbookViewId="0">
      <selection activeCell="C18" sqref="C18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7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7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7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7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  <c r="G9" s="9"/>
    </row>
    <row r="10" spans="1:7" x14ac:dyDescent="0.3">
      <c r="A10">
        <v>2025</v>
      </c>
      <c r="B10" s="1">
        <v>45972</v>
      </c>
      <c r="C10" s="3">
        <v>7.2499999999999995E-2</v>
      </c>
      <c r="D10" s="3">
        <v>7.51E-2</v>
      </c>
      <c r="E10" s="3">
        <v>7.5600000000000001E-2</v>
      </c>
      <c r="F10" s="3">
        <v>7.6200000000000004E-2</v>
      </c>
    </row>
    <row r="11" spans="1:7" x14ac:dyDescent="0.3">
      <c r="A11">
        <v>2025</v>
      </c>
      <c r="B11" s="1">
        <v>45973</v>
      </c>
      <c r="C11" s="3">
        <v>7.2499999999999995E-2</v>
      </c>
      <c r="D11" s="3">
        <v>7.51E-2</v>
      </c>
      <c r="E11" s="3">
        <v>7.5600000000000001E-2</v>
      </c>
      <c r="F11" s="3">
        <v>7.6200000000000004E-2</v>
      </c>
    </row>
    <row r="12" spans="1:7" x14ac:dyDescent="0.3">
      <c r="A12">
        <v>2025</v>
      </c>
      <c r="B12" s="1">
        <v>45974</v>
      </c>
      <c r="C12" s="3">
        <v>7.2499999999999995E-2</v>
      </c>
      <c r="D12" s="3">
        <v>7.5200000000000003E-2</v>
      </c>
      <c r="E12" s="3">
        <v>7.5700000000000003E-2</v>
      </c>
      <c r="F12" s="3">
        <v>7.6300000000000007E-2</v>
      </c>
    </row>
    <row r="13" spans="1:7" x14ac:dyDescent="0.3">
      <c r="A13" s="17">
        <v>2025</v>
      </c>
      <c r="B13" s="18">
        <v>45975</v>
      </c>
      <c r="C13" s="3">
        <v>7.2499999999999995E-2</v>
      </c>
      <c r="D13" s="3">
        <v>7.5200000000000003E-2</v>
      </c>
      <c r="E13" s="3">
        <v>7.5700000000000003E-2</v>
      </c>
      <c r="F13" s="3">
        <v>7.6300000000000007E-2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13"/>
  <sheetViews>
    <sheetView workbookViewId="0">
      <selection activeCell="G20" sqref="G20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6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6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6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6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</row>
    <row r="10" spans="1:6" x14ac:dyDescent="0.3">
      <c r="A10">
        <v>2025</v>
      </c>
      <c r="B10" s="1">
        <v>45972</v>
      </c>
      <c r="C10" s="3">
        <v>7.2499999999999995E-2</v>
      </c>
      <c r="D10" s="3">
        <v>7.51E-2</v>
      </c>
      <c r="E10" s="3">
        <v>7.5600000000000001E-2</v>
      </c>
      <c r="F10" s="3">
        <v>7.6200000000000004E-2</v>
      </c>
    </row>
    <row r="11" spans="1:6" x14ac:dyDescent="0.3">
      <c r="A11">
        <v>2025</v>
      </c>
      <c r="B11" s="1">
        <v>45973</v>
      </c>
      <c r="C11" s="3">
        <v>7.2499999999999995E-2</v>
      </c>
      <c r="D11" s="3">
        <v>7.51E-2</v>
      </c>
      <c r="E11" s="3">
        <v>7.5600000000000001E-2</v>
      </c>
      <c r="F11" s="3">
        <v>7.6200000000000004E-2</v>
      </c>
    </row>
    <row r="12" spans="1:6" x14ac:dyDescent="0.3">
      <c r="A12">
        <v>2025</v>
      </c>
      <c r="B12" s="1">
        <v>45974</v>
      </c>
      <c r="C12" s="3">
        <v>7.2499999999999995E-2</v>
      </c>
      <c r="D12" s="3">
        <v>7.5200000000000003E-2</v>
      </c>
      <c r="E12" s="3">
        <v>7.5700000000000003E-2</v>
      </c>
      <c r="F12" s="3">
        <v>7.6300000000000007E-2</v>
      </c>
    </row>
    <row r="13" spans="1:6" x14ac:dyDescent="0.3">
      <c r="A13" s="17">
        <v>2025</v>
      </c>
      <c r="B13" s="18">
        <v>45975</v>
      </c>
      <c r="C13" s="3">
        <v>7.2499999999999995E-2</v>
      </c>
      <c r="D13" s="3">
        <v>7.5200000000000003E-2</v>
      </c>
      <c r="E13" s="3">
        <v>7.5700000000000003E-2</v>
      </c>
      <c r="F13" s="3">
        <v>7.6300000000000007E-2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sheetPr>
    <tabColor rgb="FFFFFF00"/>
  </sheetPr>
  <dimension ref="A1:O12"/>
  <sheetViews>
    <sheetView topLeftCell="B1" workbookViewId="0">
      <selection activeCell="G16" sqref="G16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5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5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5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5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  <row r="5" spans="1:15" x14ac:dyDescent="0.3">
      <c r="A5">
        <v>2025</v>
      </c>
      <c r="B5" s="1">
        <v>45965</v>
      </c>
      <c r="C5" s="13">
        <v>0.04</v>
      </c>
      <c r="D5" s="5">
        <v>4.0199999999999993E-2</v>
      </c>
      <c r="E5" s="5">
        <v>3.9599999999999996E-2</v>
      </c>
      <c r="F5" s="5">
        <v>3.78E-2</v>
      </c>
      <c r="G5" s="5">
        <v>3.6699999999999997E-2</v>
      </c>
      <c r="H5" s="5">
        <v>3.5799999999999998E-2</v>
      </c>
      <c r="I5" s="5">
        <v>3.5900000000000001E-2</v>
      </c>
      <c r="J5" s="5">
        <v>3.6900000000000002E-2</v>
      </c>
      <c r="K5" s="5">
        <v>3.8800000000000001E-2</v>
      </c>
      <c r="L5" s="5">
        <v>4.0999999999999995E-2</v>
      </c>
      <c r="M5" s="5">
        <v>4.6500000000000007E-2</v>
      </c>
      <c r="N5" s="5">
        <v>4.6699999999999998E-2</v>
      </c>
    </row>
    <row r="6" spans="1:15" x14ac:dyDescent="0.3">
      <c r="A6">
        <v>2025</v>
      </c>
      <c r="B6" s="1">
        <v>45966</v>
      </c>
      <c r="C6" s="13">
        <v>3.9100000000000003E-2</v>
      </c>
      <c r="D6" s="5">
        <v>0.04</v>
      </c>
      <c r="E6" s="5">
        <v>3.9599999999999996E-2</v>
      </c>
      <c r="F6" s="5">
        <v>3.7900000000000003E-2</v>
      </c>
      <c r="G6" s="5">
        <v>3.7100000000000001E-2</v>
      </c>
      <c r="H6" s="5">
        <v>3.6299999999999999E-2</v>
      </c>
      <c r="I6" s="5">
        <v>3.6499999999999998E-2</v>
      </c>
      <c r="J6" s="5">
        <v>3.7599999999999995E-2</v>
      </c>
      <c r="K6" s="5">
        <v>3.95E-2</v>
      </c>
      <c r="L6" s="5">
        <v>4.1700000000000001E-2</v>
      </c>
      <c r="M6" s="5">
        <v>4.7199999999999999E-2</v>
      </c>
      <c r="N6" s="5">
        <v>4.7400000000000005E-2</v>
      </c>
    </row>
    <row r="7" spans="1:15" x14ac:dyDescent="0.3">
      <c r="A7">
        <v>2025</v>
      </c>
      <c r="B7" s="1">
        <v>45967</v>
      </c>
      <c r="C7" s="5">
        <v>3.9199999999999999E-2</v>
      </c>
      <c r="D7" s="5">
        <v>4.0199999999999993E-2</v>
      </c>
      <c r="E7" s="5">
        <v>3.9300000000000002E-2</v>
      </c>
      <c r="F7" s="5">
        <v>3.7599999999999995E-2</v>
      </c>
      <c r="G7" s="5">
        <v>3.6499999999999998E-2</v>
      </c>
      <c r="H7" s="5">
        <v>3.5699999999999996E-2</v>
      </c>
      <c r="I7" s="5">
        <v>3.5799999999999998E-2</v>
      </c>
      <c r="J7" s="5">
        <v>3.6900000000000002E-2</v>
      </c>
      <c r="K7" s="5">
        <v>3.8699999999999998E-2</v>
      </c>
      <c r="L7" s="5">
        <v>4.1100000000000005E-2</v>
      </c>
      <c r="M7" s="5">
        <v>4.6699999999999998E-2</v>
      </c>
      <c r="N7" s="5">
        <v>4.6900000000000004E-2</v>
      </c>
    </row>
    <row r="8" spans="1:15" x14ac:dyDescent="0.3">
      <c r="B8" s="1">
        <v>45968</v>
      </c>
      <c r="C8" s="4">
        <v>3.9300000000000002E-2</v>
      </c>
      <c r="D8" s="5">
        <v>4.0099999999999997E-2</v>
      </c>
      <c r="E8" s="5">
        <v>3.9199999999999999E-2</v>
      </c>
      <c r="F8" s="5">
        <v>3.7599999999999995E-2</v>
      </c>
      <c r="G8" s="5">
        <v>3.6299999999999999E-2</v>
      </c>
      <c r="H8" s="5">
        <v>3.5499999999999997E-2</v>
      </c>
      <c r="I8" s="5">
        <v>3.5699999999999996E-2</v>
      </c>
      <c r="J8" s="5">
        <v>3.6699999999999997E-2</v>
      </c>
      <c r="K8" s="5">
        <v>3.8699999999999998E-2</v>
      </c>
      <c r="L8" s="5">
        <v>4.1100000000000005E-2</v>
      </c>
      <c r="M8" s="5">
        <v>4.6799999999999994E-2</v>
      </c>
      <c r="N8" s="5">
        <v>4.7E-2</v>
      </c>
    </row>
    <row r="9" spans="1:15" x14ac:dyDescent="0.3">
      <c r="B9" s="1">
        <v>45971</v>
      </c>
      <c r="C9" s="4">
        <v>3.95E-2</v>
      </c>
      <c r="D9" s="5">
        <v>4.0399999999999998E-2</v>
      </c>
      <c r="E9" s="5">
        <v>3.95E-2</v>
      </c>
      <c r="F9" s="5">
        <v>3.7900000000000003E-2</v>
      </c>
      <c r="G9" s="5">
        <v>3.6600000000000001E-2</v>
      </c>
      <c r="H9" s="5">
        <v>3.5799999999999998E-2</v>
      </c>
      <c r="I9" s="5">
        <v>3.56E-2</v>
      </c>
      <c r="J9" s="5">
        <v>3.7200000000000004E-2</v>
      </c>
      <c r="K9" s="5">
        <v>3.9E-2</v>
      </c>
      <c r="L9" s="5">
        <v>4.1299999999999996E-2</v>
      </c>
      <c r="M9" s="5">
        <v>4.6900000000000004E-2</v>
      </c>
      <c r="N9" s="5">
        <v>4.7100000000000003E-2</v>
      </c>
    </row>
    <row r="10" spans="1:15" x14ac:dyDescent="0.3">
      <c r="B10" s="1">
        <v>45973</v>
      </c>
      <c r="C10" s="4">
        <v>3.9800000000000002E-2</v>
      </c>
      <c r="D10" s="5">
        <v>4.0300000000000002E-2</v>
      </c>
      <c r="E10" s="5">
        <v>3.95E-2</v>
      </c>
      <c r="F10" s="5">
        <v>3.78E-2</v>
      </c>
      <c r="G10" s="5">
        <v>3.6499999999999998E-2</v>
      </c>
      <c r="H10" s="5">
        <v>3.56E-2</v>
      </c>
      <c r="I10" s="5">
        <v>3.5499999999999997E-2</v>
      </c>
      <c r="J10" s="5">
        <v>3.6799999999999999E-2</v>
      </c>
      <c r="K10" s="5">
        <v>3.8599999999999995E-2</v>
      </c>
      <c r="L10" s="5">
        <v>4.0800000000000003E-2</v>
      </c>
      <c r="M10" s="5">
        <v>4.6500000000000007E-2</v>
      </c>
      <c r="N10" s="5">
        <v>4.6699999999999998E-2</v>
      </c>
      <c r="O10" s="5"/>
    </row>
    <row r="11" spans="1:15" x14ac:dyDescent="0.3">
      <c r="B11" s="18">
        <v>45974</v>
      </c>
      <c r="D11" s="5">
        <v>4.0500000000000001E-2</v>
      </c>
      <c r="E11" s="5">
        <v>3.9599999999999996E-2</v>
      </c>
      <c r="F11" s="5">
        <v>3.7999999999999999E-2</v>
      </c>
      <c r="G11" s="5">
        <v>3.6799999999999999E-2</v>
      </c>
      <c r="H11" s="5">
        <v>3.5799999999999998E-2</v>
      </c>
      <c r="I11" s="5">
        <v>3.5699999999999996E-2</v>
      </c>
      <c r="J11" s="5">
        <v>3.7100000000000001E-2</v>
      </c>
      <c r="K11" s="5">
        <v>3.8900000000000004E-2</v>
      </c>
      <c r="L11" s="5">
        <v>4.1100000000000005E-2</v>
      </c>
      <c r="M11" s="5">
        <v>4.6900000000000004E-2</v>
      </c>
      <c r="N11" s="5">
        <v>4.7E-2</v>
      </c>
    </row>
    <row r="12" spans="1:15" x14ac:dyDescent="0.3">
      <c r="E12" s="20"/>
      <c r="F12" s="20"/>
      <c r="G12" s="20"/>
      <c r="H12" s="20"/>
      <c r="I12" s="20"/>
      <c r="J12" s="20"/>
      <c r="K12" s="20"/>
      <c r="L12" s="20"/>
      <c r="M12" s="20"/>
      <c r="N12" s="20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12"/>
  <sheetViews>
    <sheetView workbookViewId="0">
      <selection activeCell="H16" sqref="H16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47336.6796875</v>
      </c>
      <c r="D4">
        <v>6851.97021484375</v>
      </c>
      <c r="E4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  <row r="5" spans="1:8" x14ac:dyDescent="0.3">
      <c r="A5">
        <v>2025</v>
      </c>
      <c r="B5" s="1">
        <v>45965</v>
      </c>
      <c r="C5">
        <v>47085.23828125</v>
      </c>
      <c r="D5">
        <v>6771.5498046875</v>
      </c>
      <c r="E5">
        <v>23348.640625</v>
      </c>
      <c r="F5" s="5">
        <f>IFERROR((Tabla8[[#This Row],[Dow Jones]]-C4)/C4,"")</f>
        <v>-5.3117668562714399E-3</v>
      </c>
      <c r="G5" s="5">
        <f>IFERROR((Tabla8[[#This Row],[S&amp;P 500]]-D4)/D4,"")</f>
        <v>-1.1736830084583764E-2</v>
      </c>
      <c r="H5" s="5">
        <f>IFERROR((Tabla8[[#This Row],[Nasdaq]]-E4)/E4,"")</f>
        <v>-2.039378116401714E-2</v>
      </c>
    </row>
    <row r="6" spans="1:8" x14ac:dyDescent="0.3">
      <c r="A6">
        <v>2025</v>
      </c>
      <c r="B6" s="1">
        <v>45966</v>
      </c>
      <c r="C6">
        <v>47311</v>
      </c>
      <c r="D6">
        <v>6796.2900390625</v>
      </c>
      <c r="E6">
        <v>23499.796875</v>
      </c>
      <c r="F6" s="5">
        <f>IFERROR((Tabla8[[#This Row],[Dow Jones]]-C5)/C5,"")</f>
        <v>4.7947451683578177E-3</v>
      </c>
      <c r="G6" s="5">
        <f>IFERROR((Tabla8[[#This Row],[S&amp;P 500]]-D5)/D5,"")</f>
        <v>3.6535556982648133E-3</v>
      </c>
      <c r="H6" s="5">
        <f>IFERROR((Tabla8[[#This Row],[Nasdaq]]-E5)/E5,"")</f>
        <v>6.4738779626490571E-3</v>
      </c>
    </row>
    <row r="7" spans="1:8" x14ac:dyDescent="0.3">
      <c r="A7">
        <v>2025</v>
      </c>
      <c r="B7" s="1">
        <v>45967</v>
      </c>
      <c r="C7">
        <v>46912.30078125</v>
      </c>
      <c r="D7">
        <v>6720.31982421875</v>
      </c>
      <c r="E7">
        <v>23053.9921875</v>
      </c>
      <c r="F7" s="5">
        <f>IFERROR((Tabla8[[#This Row],[Dow Jones]]-C6)/C6,"")</f>
        <v>-8.4271991450191285E-3</v>
      </c>
      <c r="G7" s="5">
        <f>IFERROR((Tabla8[[#This Row],[S&amp;P 500]]-D6)/D6,"")</f>
        <v>-1.1178189042419025E-2</v>
      </c>
      <c r="H7" s="5">
        <f>IFERROR((Tabla8[[#This Row],[Nasdaq]]-E6)/E6,"")</f>
        <v>-1.8970576208437971E-2</v>
      </c>
    </row>
    <row r="8" spans="1:8" x14ac:dyDescent="0.3">
      <c r="A8">
        <v>2025</v>
      </c>
      <c r="B8" s="1">
        <v>45968</v>
      </c>
      <c r="C8">
        <v>46987.1015625</v>
      </c>
      <c r="D8">
        <v>6728.7998046875</v>
      </c>
      <c r="E8">
        <v>23004.5390625</v>
      </c>
      <c r="F8" s="5">
        <f>IFERROR((Tabla8[[#This Row],[Dow Jones]]-C7)/C7,"")</f>
        <v>1.5944811915917908E-3</v>
      </c>
      <c r="G8" s="5">
        <f>IFERROR((Tabla8[[#This Row],[S&amp;P 500]]-D7)/D7,"")</f>
        <v>1.2618418007711134E-3</v>
      </c>
      <c r="H8" s="5">
        <f>IFERROR((Tabla8[[#This Row],[Nasdaq]]-E7)/E7,"")</f>
        <v>-2.1451002758131302E-3</v>
      </c>
    </row>
    <row r="9" spans="1:8" x14ac:dyDescent="0.3">
      <c r="A9">
        <v>2025</v>
      </c>
      <c r="B9" s="1">
        <v>45971</v>
      </c>
      <c r="C9">
        <v>47368.62890625</v>
      </c>
      <c r="D9">
        <v>6832.43017578125</v>
      </c>
      <c r="E9">
        <v>23527.169921875</v>
      </c>
      <c r="F9" s="5">
        <f>IFERROR((Tabla8[[#This Row],[Dow Jones]]-C8)/C8,"")</f>
        <v>8.1198314231515339E-3</v>
      </c>
      <c r="G9" s="5">
        <f>IFERROR((Tabla8[[#This Row],[S&amp;P 500]]-D8)/D8,"")</f>
        <v>1.5401018621709882E-2</v>
      </c>
      <c r="H9" s="5">
        <f>IFERROR((Tabla8[[#This Row],[Nasdaq]]-E8)/E8,"")</f>
        <v>2.2718597314864152E-2</v>
      </c>
    </row>
    <row r="10" spans="1:8" x14ac:dyDescent="0.3">
      <c r="A10">
        <v>2025</v>
      </c>
      <c r="B10" s="1">
        <v>45972</v>
      </c>
      <c r="C10">
        <v>47927.9609375</v>
      </c>
      <c r="D10">
        <v>6846.60986328125</v>
      </c>
      <c r="E10">
        <v>23468.30078125</v>
      </c>
      <c r="F10" s="5">
        <f>IFERROR((Tabla8[[#This Row],[Dow Jones]]-C9)/C9,"")</f>
        <v>1.1808068845670126E-2</v>
      </c>
      <c r="G10" s="5">
        <f>IFERROR((Tabla8[[#This Row],[S&amp;P 500]]-D9)/D9,"")</f>
        <v>2.0753505173404328E-3</v>
      </c>
      <c r="H10" s="5">
        <f>IFERROR((Tabla8[[#This Row],[Nasdaq]]-E9)/E9,"")</f>
        <v>-2.5021768797727295E-3</v>
      </c>
    </row>
    <row r="11" spans="1:8" x14ac:dyDescent="0.3">
      <c r="A11">
        <v>2025</v>
      </c>
      <c r="B11" s="1">
        <v>45973</v>
      </c>
      <c r="C11">
        <v>48254.8203125</v>
      </c>
      <c r="D11">
        <v>6850.919921875</v>
      </c>
      <c r="E11">
        <v>23406.4609375</v>
      </c>
      <c r="F11" s="5">
        <f>IFERROR((Tabla8[[#This Row],[Dow Jones]]-C10)/C10,"")</f>
        <v>6.8198055708282241E-3</v>
      </c>
      <c r="G11" s="5">
        <f>IFERROR((Tabla8[[#This Row],[S&amp;P 500]]-D10)/D10,"")</f>
        <v>6.2951718877178684E-4</v>
      </c>
      <c r="H11" s="5">
        <f>IFERROR((Tabla8[[#This Row],[Nasdaq]]-E10)/E10,"")</f>
        <v>-2.6350371220487741E-3</v>
      </c>
    </row>
    <row r="12" spans="1:8" x14ac:dyDescent="0.3">
      <c r="A12">
        <v>2025</v>
      </c>
      <c r="B12" s="16">
        <v>45974</v>
      </c>
      <c r="C12" s="15">
        <v>47457.21875</v>
      </c>
      <c r="D12" s="15">
        <v>6737.490234375</v>
      </c>
      <c r="E12" s="15">
        <v>22870.35546875</v>
      </c>
      <c r="F12" s="5">
        <f>IFERROR((Tabla8[[#This Row],[Dow Jones]]-C11)/C11,"")</f>
        <v>-1.6528951042293863E-2</v>
      </c>
      <c r="G12" s="5">
        <f>IFERROR((Tabla8[[#This Row],[S&amp;P 500]]-D11)/D11,"")</f>
        <v>-1.6556854961597027E-2</v>
      </c>
      <c r="H12" s="5">
        <f>IFERROR((Tabla8[[#This Row],[Nasdaq]]-E11)/E11,"")</f>
        <v>-2.2904166083950513E-2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6"/>
  <sheetViews>
    <sheetView workbookViewId="0">
      <selection activeCell="D6" sqref="D6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  <row r="6" spans="1:4" x14ac:dyDescent="0.3">
      <c r="A6">
        <v>2025</v>
      </c>
      <c r="B6" s="1">
        <v>45931</v>
      </c>
      <c r="C6" s="4">
        <v>3.5700000000000003E-2</v>
      </c>
      <c r="D6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9"/>
  <sheetViews>
    <sheetView tabSelected="1" topLeftCell="A8" workbookViewId="0">
      <selection activeCell="C15" sqref="C15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  <row r="5" spans="1:5" x14ac:dyDescent="0.3">
      <c r="A5">
        <v>2025</v>
      </c>
      <c r="B5" s="1">
        <v>45965</v>
      </c>
      <c r="C5" s="4">
        <v>3.8699999999999998E-2</v>
      </c>
      <c r="D5" s="8">
        <v>0.04</v>
      </c>
      <c r="E5" s="4">
        <v>3.7499999999999999E-2</v>
      </c>
    </row>
    <row r="6" spans="1:5" x14ac:dyDescent="0.3">
      <c r="A6">
        <v>2025</v>
      </c>
      <c r="B6" s="1">
        <v>45968</v>
      </c>
      <c r="C6" s="4">
        <v>3.8699999999999998E-2</v>
      </c>
      <c r="D6" s="8">
        <v>0.04</v>
      </c>
      <c r="E6" s="4">
        <v>3.7499999999999999E-2</v>
      </c>
    </row>
    <row r="7" spans="1:5" x14ac:dyDescent="0.3">
      <c r="A7">
        <v>2025</v>
      </c>
      <c r="B7" s="1">
        <v>45971</v>
      </c>
      <c r="C7" s="4">
        <v>3.8699999999999998E-2</v>
      </c>
      <c r="D7" s="8">
        <v>0.04</v>
      </c>
      <c r="E7" s="4">
        <v>3.7499999999999999E-2</v>
      </c>
    </row>
    <row r="8" spans="1:5" x14ac:dyDescent="0.3">
      <c r="A8">
        <v>2025</v>
      </c>
      <c r="B8" s="1">
        <v>45972</v>
      </c>
      <c r="C8" s="4">
        <v>3.8699999999999998E-2</v>
      </c>
      <c r="D8" s="8">
        <v>0.04</v>
      </c>
      <c r="E8" s="4">
        <v>3.7499999999999999E-2</v>
      </c>
    </row>
    <row r="9" spans="1:5" x14ac:dyDescent="0.3">
      <c r="A9" s="20">
        <v>2025</v>
      </c>
      <c r="B9" s="21">
        <v>45973</v>
      </c>
      <c r="C9" s="19">
        <v>3.8699999999999998E-2</v>
      </c>
      <c r="D9" s="8">
        <v>0.04</v>
      </c>
      <c r="E9" s="19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2025-11-14T08:12:53Z</dcterms:modified>
</cp:coreProperties>
</file>