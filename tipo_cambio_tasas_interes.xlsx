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682D92BD-4D3F-4B43-8C43-554FE68D721E}" xr6:coauthVersionLast="47" xr6:coauthVersionMax="47" xr10:uidLastSave="{00000000-0000-0000-0000-000000000000}"/>
  <bookViews>
    <workbookView xWindow="-108" yWindow="-108" windowWidth="23256" windowHeight="12576" firstSheet="2" activeTab="4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2" i="6" l="1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<sst xmlns="http://schemas.openxmlformats.org/spreadsheetml/2006/main" count="52" uniqueCount="33">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</sst>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14" fontId="0" fillId="0" borderId="0" xfId="0" applyNumberFormat="1"/>
    <xf numFmtId="10" fontId="0" fillId="0" borderId="0" xfId="0" applyNumberFormat="1" applyBorder="1"/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3" totalsRowShown="0" dataDxfId="28" dataCellStyle="Moneda">
  <autoFilter ref="A1:E3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3" totalsRowShown="0" dataDxfId="0">
  <autoFilter ref="A1:F3" xr:uid="{F4FA084B-10DE-49EA-A77A-CF0EB874CD28}"/>
  <tableColumns count="6">
    <tableColumn id="1" xr3:uid="{B700B119-8C38-4F55-BC79-C4D6BC8E0C88}" name="Año"/>
    <tableColumn id="2" xr3:uid="{47E09E7D-A904-4405-9048-49D33EE0E8EB}" name="Fecha" dataDxfId="5"/>
    <tableColumn id="3" xr3:uid="{0E168449-32EF-450B-812C-11DC4F0F3A30}" name="Tasa de Interés Objetivo" dataDxfId="4"/>
    <tableColumn id="4" xr3:uid="{EE5A2D13-088C-4226-A754-1A001EC14095}" name="TIIE 28 días" dataDxfId="3"/>
    <tableColumn id="5" xr3:uid="{91C093C9-2029-4DE0-AF73-BB6DB79C251D}" name="TIIE 91 días" dataDxfId="2"/>
    <tableColumn id="6" xr3:uid="{B133AA74-E94C-4608-8061-B6BA564978B5}" name="TIIE 182 días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3" totalsRowShown="0">
  <autoFilter ref="A1:F3" xr:uid="{4E717856-AEC4-4D15-83FE-EF067029218F}"/>
  <tableColumns count="6">
    <tableColumn id="1" xr3:uid="{2E0B3A81-10BF-4919-93D3-DFCB7943009F}" name="Año"/>
    <tableColumn id="2" xr3:uid="{4DDFFDA1-F291-46D8-8D65-F7040EF322C5}" name="Fecha" dataDxfId="23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autoFilter ref="A1:N2" xr:uid="{41D25D3A-81CA-4450-B7DF-F71343E59E89}"/>
  <tableColumns count="14">
    <tableColumn id="1" xr3:uid="{4B709A46-FEF4-4082-A1C7-4443452E16C3}" name="Año"/>
    <tableColumn id="2" xr3:uid="{288E25E9-721A-4984-9062-39446AEF10A2}" name="Fecha" dataDxfId="22"/>
    <tableColumn id="3" xr3:uid="{B14E5478-3494-4D1C-8F7A-C3666CA59C27}" name="SOFR" dataDxfId="21"/>
    <tableColumn id="4" xr3:uid="{BA101BB9-5BDD-49C2-A01D-82F8C1F40DE3}" name="1M Treasury" dataDxfId="20"/>
    <tableColumn id="5" xr3:uid="{7FE75A9A-7044-4B06-B3A6-F01D3A56E2C5}" name="3M Treasury" dataDxfId="19"/>
    <tableColumn id="6" xr3:uid="{602D7FBF-E731-4F49-9A0B-6365C780F089}" name="6M Treasury" dataDxfId="18"/>
    <tableColumn id="7" xr3:uid="{7887EB81-463F-4BB8-9E84-4229D2CAC9A1}" name="1Y Treasury" dataDxfId="17"/>
    <tableColumn id="8" xr3:uid="{8C5475BF-3FF2-497D-B569-0B378CC77D79}" name="2Y Treasury" dataDxfId="16"/>
    <tableColumn id="9" xr3:uid="{3B424ABE-EF8F-498A-8F4F-7FDBD990A429}" name="3Y Treasury" dataDxfId="15"/>
    <tableColumn id="10" xr3:uid="{383F89E5-27BF-4792-BA7B-6E4263B946C9}" name="5Y Treasury" dataDxfId="14"/>
    <tableColumn id="11" xr3:uid="{A94CC5AD-A6E2-4E44-AAAF-147E46B23BA1}" name="7Y Treasury" dataDxfId="13"/>
    <tableColumn id="12" xr3:uid="{BA073A53-DD09-4842-A47E-B2F4D2CD2F0B}" name="10Y Treasury" dataDxfId="12"/>
    <tableColumn id="13" xr3:uid="{0AB1292E-1821-4704-ACB3-22F12D9A1EBD}" name="20Y Treasury" dataDxfId="11"/>
    <tableColumn id="14" xr3:uid="{FCEEF9DA-C290-458F-AEF1-C46CBE6DCD16}" name="30Y Treasury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3" totalsRowShown="0">
  <autoFilter ref="A1:H3" xr:uid="{E8483F90-A69D-4E36-9F78-F36E94A075B5}"/>
  <tableColumns count="8">
    <tableColumn id="1" xr3:uid="{7676C863-947F-4296-8B2C-4C1C2493E9D9}" name="Año"/>
    <tableColumn id="2" xr3:uid="{55C318C8-9926-4D62-8294-177D6BC0FE75}" name="Fecha" dataDxfId="9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8">
      <calculatedColumnFormula>IFERROR((Tabla8[[#This Row],[Dow Jones]]-C1)/C1,"")</calculatedColumnFormula>
    </tableColumn>
    <tableColumn id="7" xr3:uid="{A64DA0F4-44F9-4388-B98F-ED267001BCC9}" name="% S&amp;P500" dataDxfId="7">
      <calculatedColumnFormula>IFERROR((Tabla8[[#This Row],[S&amp;P 500]]-D1)/D1,"")</calculatedColumnFormula>
    </tableColumn>
    <tableColumn id="8" xr3:uid="{9B8FC688-A5F6-4240-9AD9-64ED7FF46AD3}" name="% Nasdaq" dataDxfId="6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3"/>
  <sheetViews>
    <sheetView workbookViewId="0">
      <selection activeCell="D9" sqref="D9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9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9">
        <v>45961</v>
      </c>
      <c r="C3" s="2">
        <v>18.572500000000002</v>
      </c>
      <c r="D3" s="2">
        <v>18.597999999999999</v>
      </c>
      <c r="E3" s="2">
        <v>18.545999999999999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F3"/>
  <sheetViews>
    <sheetView workbookViewId="0">
      <selection activeCell="A2" sqref="A2:F3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6" x14ac:dyDescent="0.3">
      <c r="A2" s="19">
        <v>2025</v>
      </c>
      <c r="B2" s="20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 s="19">
        <v>2025</v>
      </c>
      <c r="B3" s="20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3"/>
  <sheetViews>
    <sheetView workbookViewId="0">
      <selection activeCell="D12" sqref="D12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20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20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3"/>
  <sheetViews>
    <sheetView workbookViewId="0">
      <selection activeCell="O3" sqref="O3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 s="13">
        <v>2025</v>
      </c>
      <c r="B2" s="14">
        <v>45960</v>
      </c>
      <c r="C2" s="7">
        <v>4.0399999999999998E-2</v>
      </c>
      <c r="D2" s="10">
        <v>4.0500000000000001E-2</v>
      </c>
      <c r="E2" s="10">
        <v>3.9199999999999999E-2</v>
      </c>
      <c r="F2" s="10">
        <v>3.7900000000000003E-2</v>
      </c>
      <c r="G2" s="10">
        <v>3.6999999999999998E-2</v>
      </c>
      <c r="H2" s="10">
        <v>3.61E-2</v>
      </c>
      <c r="I2" s="10">
        <v>3.61E-2</v>
      </c>
      <c r="J2" s="10">
        <v>3.7199999999999997E-2</v>
      </c>
      <c r="K2" s="10">
        <v>3.9E-2</v>
      </c>
      <c r="L2" s="10">
        <v>4.1099999999999998E-2</v>
      </c>
      <c r="M2" s="10">
        <v>4.6399999999999997E-2</v>
      </c>
      <c r="N2" s="10">
        <v>4.65E-2</v>
      </c>
    </row>
    <row r="3" spans="1:14" s="13" customFormat="1" x14ac:dyDescent="0.3">
      <c r="A3" s="13">
        <v>2025</v>
      </c>
      <c r="B3" s="14">
        <v>45961</v>
      </c>
      <c r="C3" s="15">
        <v>4.2200000000000001E-2</v>
      </c>
      <c r="D3" s="10">
        <v>4.0599999999999997E-2</v>
      </c>
      <c r="E3" s="10">
        <v>3.8899999999999997E-2</v>
      </c>
      <c r="F3" s="10">
        <v>3.7900000000000003E-2</v>
      </c>
      <c r="G3" s="10">
        <v>3.6999999999999998E-2</v>
      </c>
      <c r="H3" s="10">
        <v>3.5999999999999997E-2</v>
      </c>
      <c r="I3" s="10">
        <v>3.5999999999999997E-2</v>
      </c>
      <c r="J3" s="10">
        <v>3.7100000000000001E-2</v>
      </c>
      <c r="K3" s="10">
        <v>3.8899999999999997E-2</v>
      </c>
      <c r="L3" s="10">
        <v>4.1099999999999998E-2</v>
      </c>
      <c r="M3" s="10">
        <v>4.65E-2</v>
      </c>
      <c r="N3" s="10">
        <v>4.6699999999999998E-2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3"/>
  <sheetViews>
    <sheetView tabSelected="1" workbookViewId="0">
      <selection activeCell="E11" sqref="E11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s="11">
        <v>2025</v>
      </c>
      <c r="B2" s="12">
        <v>45960</v>
      </c>
      <c r="C2" s="11">
        <v>47522.12109375</v>
      </c>
      <c r="D2" s="11">
        <v>6822.33984375</v>
      </c>
      <c r="E2" s="11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 s="11">
        <v>2025</v>
      </c>
      <c r="B3" s="12">
        <v>45961</v>
      </c>
      <c r="C3" s="11">
        <v>47562.87109375</v>
      </c>
      <c r="D3" s="11">
        <v>6840.2001953125</v>
      </c>
      <c r="E3" s="11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H20" sqref="H20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7">
        <v>45901</v>
      </c>
      <c r="C5" s="18">
        <v>3.0200000000000001E-2</v>
      </c>
      <c r="D5" s="18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 s="16">
        <v>2025</v>
      </c>
      <c r="B5" s="17">
        <v>45901</v>
      </c>
      <c r="C5" s="18">
        <v>3.7600000000000001E-2</v>
      </c>
      <c r="D5" s="18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3"/>
  <sheetViews>
    <sheetView workbookViewId="0">
      <selection activeCell="K14" sqref="K14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23">
        <v>45960</v>
      </c>
      <c r="C2" s="21">
        <v>3.8699999999999998E-2</v>
      </c>
      <c r="D2" s="8">
        <v>0.04</v>
      </c>
      <c r="E2" s="21">
        <v>3.7499999999999999E-2</v>
      </c>
    </row>
    <row r="3" spans="1:5" x14ac:dyDescent="0.3">
      <c r="A3" s="22">
        <v>2025</v>
      </c>
      <c r="B3" s="23">
        <v>45961</v>
      </c>
      <c r="C3" s="21">
        <v>3.8699999999999998E-2</v>
      </c>
      <c r="D3" s="8">
        <v>0.04</v>
      </c>
      <c r="E3" s="21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2025-11-03T15:10:32Z</dcterms:modified>
</cp:coreProperties>
</file>