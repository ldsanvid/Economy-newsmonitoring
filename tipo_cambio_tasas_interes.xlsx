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3CFA7AA8-BDE4-429D-9B5A-49D2306D71A2}" xr6:coauthVersionLast="47" xr6:coauthVersionMax="47" xr10:uidLastSave="{00000000-0000-0000-0000-000000000000}"/>
  <bookViews>
    <workbookView xWindow="-108" yWindow="-108" windowWidth="23256" windowHeight="12576" firstSheet="2" activeTab="4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H4" i="6" l="1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<sst xmlns="http://schemas.openxmlformats.org/spreadsheetml/2006/main" count="52" uniqueCount="33">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</sst>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ont="1" applyFill="1" applyBorder="1"/>
    <xf numFmtId="14" fontId="0" fillId="34" borderId="10" xfId="0" applyNumberFormat="1" applyFont="1" applyFill="1" applyBorder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4" totalsRowShown="0" dataDxfId="28" dataCellStyle="Moneda">
  <autoFilter ref="A1:E4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4" totalsRowShown="0" dataDxfId="23">
  <autoFilter ref="A1:F4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4" totalsRowShown="0">
  <autoFilter ref="A1:F4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autoFilter ref="A1:N2" xr:uid="{41D25D3A-81CA-4450-B7DF-F71343E59E89}"/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4" totalsRowShown="0">
  <autoFilter ref="A1:H4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4"/>
  <sheetViews>
    <sheetView workbookViewId="0">
      <selection activeCell="F9" sqref="F9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workbookViewId="0">
      <selection activeCell="G9" sqref="G9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9" spans="1:7" x14ac:dyDescent="0.3"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4"/>
  <sheetViews>
    <sheetView workbookViewId="0">
      <selection activeCell="B4" sqref="B4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3"/>
  <sheetViews>
    <sheetView workbookViewId="0">
      <selection activeCell="P3" sqref="P3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4"/>
  <sheetViews>
    <sheetView tabSelected="1" workbookViewId="0">
      <selection activeCell="H9" sqref="H9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47336.68</v>
      </c>
      <c r="D4">
        <v>6851.97</v>
      </c>
      <c r="E4">
        <v>23834.720000000001</v>
      </c>
      <c r="F4" s="5">
        <f>IFERROR((Tabla8[[#This Row],[Dow Jones]]-C3)/C3,"")</f>
        <v>-4.7556232108898564E-3</v>
      </c>
      <c r="G4" s="5">
        <f>IFERROR((Tabla8[[#This Row],[S&amp;P 500]]-D3)/D3,"")</f>
        <v>1.7206813180067374E-3</v>
      </c>
      <c r="H4" s="5">
        <f>IFERROR((Tabla8[[#This Row],[Nasdaq]]-E3)/E3,"")</f>
        <v>4.6263116212981606E-3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4"/>
  <sheetViews>
    <sheetView workbookViewId="0">
      <selection activeCell="B4" sqref="B4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2025-11-03T21:13:44Z</dcterms:modified>
</cp:coreProperties>
</file>